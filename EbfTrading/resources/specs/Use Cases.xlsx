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ge\PycharmProjects\EbfTrading\resources\specs\"/>
    </mc:Choice>
  </mc:AlternateContent>
  <xr:revisionPtr revIDLastSave="0" documentId="13_ncr:1_{54ECAAB9-C108-40F3-9856-F75053B6CEAD}" xr6:coauthVersionLast="47" xr6:coauthVersionMax="47" xr10:uidLastSave="{00000000-0000-0000-0000-000000000000}"/>
  <bookViews>
    <workbookView xWindow="-98" yWindow="-98" windowWidth="21795" windowHeight="12975" activeTab="1" xr2:uid="{00FE1F8B-6966-4E31-B613-544183EFD1DF}"/>
  </bookViews>
  <sheets>
    <sheet name="Unfilled LMT Order" sheetId="3" r:id="rId1"/>
    <sheet name="Filled LMT Order" sheetId="2" r:id="rId2"/>
    <sheet name="Filled MKT Orde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2" l="1"/>
  <c r="I38" i="2"/>
  <c r="K13" i="2"/>
  <c r="K5" i="2"/>
  <c r="I11" i="2"/>
  <c r="K11" i="2" s="1"/>
  <c r="I4" i="2"/>
  <c r="C17" i="4"/>
  <c r="C16" i="4"/>
  <c r="C15" i="4"/>
  <c r="C27" i="4" s="1"/>
  <c r="C8" i="4"/>
  <c r="E7" i="4"/>
  <c r="E6" i="4"/>
  <c r="C17" i="3"/>
  <c r="C16" i="3"/>
  <c r="C15" i="3"/>
  <c r="C8" i="3"/>
  <c r="E7" i="3"/>
  <c r="E6" i="3"/>
  <c r="C15" i="2"/>
  <c r="C27" i="2" s="1"/>
  <c r="C17" i="2"/>
  <c r="C16" i="2"/>
  <c r="C8" i="2"/>
  <c r="I3" i="2" s="1"/>
  <c r="E7" i="2"/>
  <c r="E6" i="2"/>
</calcChain>
</file>

<file path=xl/sharedStrings.xml><?xml version="1.0" encoding="utf-8"?>
<sst xmlns="http://schemas.openxmlformats.org/spreadsheetml/2006/main" count="261" uniqueCount="69">
  <si>
    <t>Transaction Date</t>
  </si>
  <si>
    <t>Day</t>
  </si>
  <si>
    <t>Expiration Date</t>
  </si>
  <si>
    <t>Manual</t>
  </si>
  <si>
    <t>DTE</t>
  </si>
  <si>
    <t>Calc</t>
  </si>
  <si>
    <t>Contract Qty</t>
  </si>
  <si>
    <t>Underlying Ticker</t>
  </si>
  <si>
    <t>IBM</t>
  </si>
  <si>
    <t>Option Ticker</t>
  </si>
  <si>
    <t>Premium Bid</t>
  </si>
  <si>
    <t>Premium Ask</t>
  </si>
  <si>
    <t>(data feed)</t>
  </si>
  <si>
    <t>Order timeframe</t>
  </si>
  <si>
    <t>End of Timeframe (day)</t>
  </si>
  <si>
    <t>Fill Status</t>
  </si>
  <si>
    <t>Unfilled</t>
  </si>
  <si>
    <t>Order type</t>
  </si>
  <si>
    <t>LMT</t>
  </si>
  <si>
    <t>LMT | MKT</t>
  </si>
  <si>
    <t>Cash if Assigned</t>
  </si>
  <si>
    <t>Strike Price</t>
  </si>
  <si>
    <t>Simple ROI</t>
  </si>
  <si>
    <t>CAGR</t>
  </si>
  <si>
    <t>Goal</t>
  </si>
  <si>
    <t>Position Building</t>
  </si>
  <si>
    <t xml:space="preserve">Strategy </t>
  </si>
  <si>
    <t>Wheel</t>
  </si>
  <si>
    <t>delta at bid time</t>
  </si>
  <si>
    <t>retain until filled. Discarded, or past expiration date</t>
  </si>
  <si>
    <t>Total Premium</t>
  </si>
  <si>
    <t>Fill Time</t>
  </si>
  <si>
    <t>AON</t>
  </si>
  <si>
    <t>Filled</t>
  </si>
  <si>
    <t>Cash balance - Starting</t>
  </si>
  <si>
    <t>Cash balance - Ending</t>
  </si>
  <si>
    <t>Reserve - Starting</t>
  </si>
  <si>
    <t>Reserve - Ending</t>
  </si>
  <si>
    <t>MKT</t>
  </si>
  <si>
    <t>manage delta &amp; premium cost for BTC if 80% earned within 1st half of term</t>
  </si>
  <si>
    <t>Opening Event</t>
  </si>
  <si>
    <t>Closing Event</t>
  </si>
  <si>
    <t>BTC</t>
  </si>
  <si>
    <t>Rule</t>
  </si>
  <si>
    <t>Cost to close is 20% of preium with 1st half of term</t>
  </si>
  <si>
    <t>Cutoff date</t>
  </si>
  <si>
    <t>Premium max</t>
  </si>
  <si>
    <t xml:space="preserve">Date </t>
  </si>
  <si>
    <t>must be market open dsy</t>
  </si>
  <si>
    <t>Buy to close</t>
  </si>
  <si>
    <t>do nothing</t>
  </si>
  <si>
    <t>Cost to close is 10% of preium with 2nd half of term</t>
  </si>
  <si>
    <t>OPEX</t>
  </si>
  <si>
    <t>Assignment</t>
  </si>
  <si>
    <t>Underlying Price</t>
  </si>
  <si>
    <t>Date</t>
  </si>
  <si>
    <t>New Event</t>
  </si>
  <si>
    <t>Equity postion</t>
  </si>
  <si>
    <t>long 1000 shares</t>
  </si>
  <si>
    <t>ACB</t>
  </si>
  <si>
    <t>share price less premium received</t>
  </si>
  <si>
    <t>System event</t>
  </si>
  <si>
    <t>Closing Transaction</t>
  </si>
  <si>
    <t>Trade is closed</t>
  </si>
  <si>
    <t>Reduce Cash</t>
  </si>
  <si>
    <t>Reduce Reserve</t>
  </si>
  <si>
    <t>Expiration</t>
  </si>
  <si>
    <t>Early Assignment</t>
  </si>
  <si>
    <t>Ex-Div where dividend exceeded Time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</si>
</sst>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5" formatCode="[$-409]d\-mmm;@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22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  <xf numFmtId="44" fontId="0" fillId="0" borderId="0" xfId="1" applyFont="1" applyAlignment="1">
      <alignment horizontal="right"/>
    </xf>
    <xf numFmtId="164" fontId="0" fillId="0" borderId="0" xfId="2" applyNumberFormat="1" applyFont="1"/>
    <xf numFmtId="44" fontId="0" fillId="0" borderId="0" xfId="0" applyNumberFormat="1"/>
    <xf numFmtId="0" fontId="2" fillId="0" borderId="0" xfId="0" applyFont="1"/>
    <xf numFmtId="165" fontId="0" fillId="0" borderId="0" xfId="0" applyNumberFormat="1"/>
    <xf numFmtId="16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A6F6-B901-4DAE-A860-009525B4BCE3}">
  <dimension ref="A1:E29"/>
  <sheetViews>
    <sheetView workbookViewId="0"/>
  </sheetViews>
  <sheetFormatPr defaultRowHeight="13.5"/>
  <cols>
    <col min="2" max="2" width="19.9375" bestFit="1" customWidth="1"/>
    <col min="3" max="3" width="13.75" bestFit="1" customWidth="1"/>
  </cols>
  <sheetData>
    <row r="1" spans="1:5" ht="17.649999999999999">
      <c r="A1" s="7" t="s">
        <v>40</v>
      </c>
    </row>
    <row r="2" spans="1:5">
      <c r="B2" t="s">
        <v>7</v>
      </c>
      <c r="C2" s="3" t="s">
        <v>8</v>
      </c>
      <c r="D2" t="s">
        <v>3</v>
      </c>
    </row>
    <row r="3" spans="1:5">
      <c r="B3" t="s">
        <v>24</v>
      </c>
      <c r="C3" s="3" t="s">
        <v>25</v>
      </c>
      <c r="D3" t="s">
        <v>3</v>
      </c>
    </row>
    <row r="4" spans="1:5">
      <c r="B4" t="s">
        <v>26</v>
      </c>
      <c r="C4" s="3" t="s">
        <v>27</v>
      </c>
      <c r="D4" t="s">
        <v>3</v>
      </c>
    </row>
    <row r="6" spans="1:5">
      <c r="B6" t="s">
        <v>0</v>
      </c>
      <c r="C6" s="1">
        <v>37145.458333333336</v>
      </c>
      <c r="D6" t="s">
        <v>3</v>
      </c>
      <c r="E6" t="str">
        <f>TEXT(C6,"dddd")</f>
        <v>Tuesday</v>
      </c>
    </row>
    <row r="7" spans="1:5">
      <c r="B7" t="s">
        <v>2</v>
      </c>
      <c r="C7" s="1">
        <v>37155.666666666664</v>
      </c>
      <c r="D7" t="s">
        <v>3</v>
      </c>
      <c r="E7" t="str">
        <f>TEXT(C7,"dddd")</f>
        <v>Friday</v>
      </c>
    </row>
    <row r="8" spans="1:5">
      <c r="B8" t="s">
        <v>4</v>
      </c>
      <c r="C8">
        <f>C7-C6</f>
        <v>10.208333333328483</v>
      </c>
      <c r="D8" t="s">
        <v>5</v>
      </c>
    </row>
    <row r="9" spans="1:5">
      <c r="B9" t="s">
        <v>28</v>
      </c>
      <c r="C9">
        <v>0.4</v>
      </c>
      <c r="D9" t="s">
        <v>3</v>
      </c>
      <c r="E9" t="s">
        <v>12</v>
      </c>
    </row>
    <row r="10" spans="1:5">
      <c r="B10" t="s">
        <v>6</v>
      </c>
      <c r="C10">
        <v>10</v>
      </c>
      <c r="D10" t="s">
        <v>3</v>
      </c>
    </row>
    <row r="11" spans="1:5">
      <c r="B11" t="s">
        <v>10</v>
      </c>
      <c r="C11" s="2">
        <v>1</v>
      </c>
      <c r="D11" t="s">
        <v>3</v>
      </c>
      <c r="E11" t="s">
        <v>12</v>
      </c>
    </row>
    <row r="12" spans="1:5">
      <c r="B12" t="s">
        <v>11</v>
      </c>
      <c r="C12" s="2">
        <v>0.9</v>
      </c>
      <c r="D12" t="s">
        <v>3</v>
      </c>
      <c r="E12" t="s">
        <v>12</v>
      </c>
    </row>
    <row r="13" spans="1:5">
      <c r="B13" t="s">
        <v>21</v>
      </c>
      <c r="C13" s="2">
        <v>42.5</v>
      </c>
      <c r="D13" t="s">
        <v>3</v>
      </c>
    </row>
    <row r="14" spans="1:5">
      <c r="B14" t="s">
        <v>9</v>
      </c>
      <c r="D14" t="s">
        <v>5</v>
      </c>
    </row>
    <row r="15" spans="1:5">
      <c r="B15" t="s">
        <v>30</v>
      </c>
      <c r="C15" s="6">
        <f>C11*100*C10</f>
        <v>1000</v>
      </c>
      <c r="D15" t="s">
        <v>5</v>
      </c>
    </row>
    <row r="16" spans="1:5">
      <c r="B16" t="s">
        <v>20</v>
      </c>
      <c r="C16" s="2">
        <f>C10*C13*100</f>
        <v>42500</v>
      </c>
      <c r="D16" t="s">
        <v>5</v>
      </c>
    </row>
    <row r="17" spans="2:5">
      <c r="B17" t="s">
        <v>22</v>
      </c>
      <c r="C17" s="5">
        <f>C11/C13</f>
        <v>2.3529411764705882E-2</v>
      </c>
      <c r="D17" t="s">
        <v>5</v>
      </c>
    </row>
    <row r="18" spans="2:5">
      <c r="B18" t="s">
        <v>23</v>
      </c>
      <c r="C18" s="2"/>
      <c r="D18" t="s">
        <v>5</v>
      </c>
    </row>
    <row r="19" spans="2:5">
      <c r="B19" t="s">
        <v>17</v>
      </c>
      <c r="C19" s="2" t="s">
        <v>18</v>
      </c>
      <c r="D19" t="s">
        <v>3</v>
      </c>
      <c r="E19" t="s">
        <v>19</v>
      </c>
    </row>
    <row r="20" spans="2:5">
      <c r="B20" t="s">
        <v>13</v>
      </c>
      <c r="C20" s="4" t="s">
        <v>1</v>
      </c>
      <c r="D20" t="s">
        <v>3</v>
      </c>
    </row>
    <row r="21" spans="2:5">
      <c r="B21" t="s">
        <v>32</v>
      </c>
      <c r="C21" s="4" t="b">
        <v>1</v>
      </c>
      <c r="D21" t="s">
        <v>3</v>
      </c>
    </row>
    <row r="23" spans="2:5">
      <c r="B23" t="s">
        <v>31</v>
      </c>
      <c r="C23" s="1"/>
      <c r="D23" t="s">
        <v>3</v>
      </c>
    </row>
    <row r="24" spans="2:5">
      <c r="B24" t="s">
        <v>14</v>
      </c>
    </row>
    <row r="25" spans="2:5">
      <c r="B25" t="s">
        <v>15</v>
      </c>
      <c r="C25" t="s">
        <v>16</v>
      </c>
      <c r="D25" t="s">
        <v>3</v>
      </c>
      <c r="E25" t="s">
        <v>29</v>
      </c>
    </row>
    <row r="26" spans="2:5">
      <c r="B26" t="s">
        <v>34</v>
      </c>
      <c r="C26" s="2">
        <v>10000</v>
      </c>
      <c r="D26" t="s">
        <v>5</v>
      </c>
    </row>
    <row r="27" spans="2:5">
      <c r="B27" t="s">
        <v>35</v>
      </c>
      <c r="C27" s="6">
        <v>10000</v>
      </c>
      <c r="D27" t="s">
        <v>5</v>
      </c>
    </row>
    <row r="28" spans="2:5">
      <c r="B28" t="s">
        <v>36</v>
      </c>
      <c r="C28">
        <v>0</v>
      </c>
    </row>
    <row r="29" spans="2:5">
      <c r="B29" t="s">
        <v>37</v>
      </c>
      <c r="C29" s="2"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13F5D-6787-4A2E-8687-321A6306D415}">
  <dimension ref="A1:N43"/>
  <sheetViews>
    <sheetView tabSelected="1" workbookViewId="0"/>
  </sheetViews>
  <sheetFormatPr defaultRowHeight="13.5"/>
  <cols>
    <col min="2" max="2" width="19.9375" bestFit="1" customWidth="1"/>
    <col min="3" max="3" width="13.75" bestFit="1" customWidth="1"/>
    <col min="8" max="8" width="14.0625" bestFit="1" customWidth="1"/>
    <col min="9" max="9" width="13.75" bestFit="1" customWidth="1"/>
    <col min="12" max="12" width="11.5" bestFit="1" customWidth="1"/>
    <col min="13" max="13" width="17.0625" bestFit="1" customWidth="1"/>
    <col min="14" max="14" width="11.5625" bestFit="1" customWidth="1"/>
  </cols>
  <sheetData>
    <row r="1" spans="1:14" ht="17.649999999999999">
      <c r="A1" s="7" t="s">
        <v>40</v>
      </c>
      <c r="G1" s="7" t="s">
        <v>41</v>
      </c>
      <c r="I1" t="s">
        <v>42</v>
      </c>
    </row>
    <row r="2" spans="1:14">
      <c r="B2" t="s">
        <v>7</v>
      </c>
      <c r="C2" s="3" t="s">
        <v>8</v>
      </c>
      <c r="D2" t="s">
        <v>3</v>
      </c>
      <c r="H2" t="s">
        <v>43</v>
      </c>
      <c r="I2" t="s">
        <v>44</v>
      </c>
    </row>
    <row r="3" spans="1:14">
      <c r="B3" t="s">
        <v>24</v>
      </c>
      <c r="C3" s="3" t="s">
        <v>25</v>
      </c>
      <c r="D3" t="s">
        <v>3</v>
      </c>
      <c r="H3" t="s">
        <v>45</v>
      </c>
      <c r="I3" s="8">
        <f>C6+(C8/2)</f>
        <v>37154.0625</v>
      </c>
      <c r="J3" t="s">
        <v>5</v>
      </c>
      <c r="K3" t="s">
        <v>48</v>
      </c>
    </row>
    <row r="4" spans="1:14">
      <c r="B4" t="s">
        <v>26</v>
      </c>
      <c r="C4" s="3" t="s">
        <v>27</v>
      </c>
      <c r="D4" t="s">
        <v>3</v>
      </c>
      <c r="H4" t="s">
        <v>46</v>
      </c>
      <c r="I4" s="6">
        <f>0.2*C11</f>
        <v>0.2</v>
      </c>
      <c r="J4" t="s">
        <v>5</v>
      </c>
    </row>
    <row r="5" spans="1:14">
      <c r="H5" t="s">
        <v>47</v>
      </c>
      <c r="I5" s="9">
        <v>46283</v>
      </c>
      <c r="J5" t="s">
        <v>3</v>
      </c>
      <c r="K5" t="str">
        <f>TEXT(I5,"dddd")</f>
        <v>Friday</v>
      </c>
    </row>
    <row r="6" spans="1:14">
      <c r="B6" t="s">
        <v>0</v>
      </c>
      <c r="C6" s="1">
        <v>37145.458333333336</v>
      </c>
      <c r="D6" t="s">
        <v>3</v>
      </c>
      <c r="E6" t="str">
        <f>TEXT(C6,"dddd")</f>
        <v>Tuesday</v>
      </c>
      <c r="H6" t="s">
        <v>11</v>
      </c>
      <c r="I6">
        <v>0.17</v>
      </c>
      <c r="J6" t="s">
        <v>49</v>
      </c>
      <c r="L6" t="s">
        <v>61</v>
      </c>
      <c r="M6" t="s">
        <v>62</v>
      </c>
    </row>
    <row r="7" spans="1:14">
      <c r="B7" t="s">
        <v>2</v>
      </c>
      <c r="C7" s="1">
        <v>37162.666666666664</v>
      </c>
      <c r="D7" t="s">
        <v>3</v>
      </c>
      <c r="E7" t="str">
        <f>TEXT(C7,"dddd")</f>
        <v>Friday</v>
      </c>
      <c r="H7" t="s">
        <v>11</v>
      </c>
      <c r="I7">
        <v>0.25</v>
      </c>
      <c r="J7" t="s">
        <v>50</v>
      </c>
      <c r="M7" t="s">
        <v>63</v>
      </c>
    </row>
    <row r="8" spans="1:14">
      <c r="B8" t="s">
        <v>4</v>
      </c>
      <c r="C8">
        <f>C7-C6</f>
        <v>17.208333333328483</v>
      </c>
      <c r="D8" t="s">
        <v>5</v>
      </c>
      <c r="M8" t="s">
        <v>64</v>
      </c>
      <c r="N8" s="2">
        <v>-170</v>
      </c>
    </row>
    <row r="9" spans="1:14">
      <c r="B9" t="s">
        <v>28</v>
      </c>
      <c r="C9">
        <v>0.4</v>
      </c>
      <c r="D9" t="s">
        <v>3</v>
      </c>
      <c r="E9" t="s">
        <v>12</v>
      </c>
      <c r="M9" t="s">
        <v>65</v>
      </c>
      <c r="N9" s="2">
        <v>-42500</v>
      </c>
    </row>
    <row r="10" spans="1:14">
      <c r="B10" t="s">
        <v>6</v>
      </c>
      <c r="C10">
        <v>10</v>
      </c>
      <c r="D10" t="s">
        <v>3</v>
      </c>
      <c r="H10" t="s">
        <v>43</v>
      </c>
      <c r="I10" t="s">
        <v>51</v>
      </c>
    </row>
    <row r="11" spans="1:14">
      <c r="B11" t="s">
        <v>10</v>
      </c>
      <c r="C11" s="2">
        <v>1</v>
      </c>
      <c r="D11" t="s">
        <v>3</v>
      </c>
      <c r="E11" t="s">
        <v>12</v>
      </c>
      <c r="H11" t="s">
        <v>45</v>
      </c>
      <c r="I11" s="9">
        <f>C7</f>
        <v>37162.666666666664</v>
      </c>
      <c r="J11" t="s">
        <v>3</v>
      </c>
      <c r="K11" t="str">
        <f>TEXT(I11,"dddd")</f>
        <v>Friday</v>
      </c>
    </row>
    <row r="12" spans="1:14">
      <c r="B12" t="s">
        <v>11</v>
      </c>
      <c r="C12" s="2">
        <v>0.9</v>
      </c>
      <c r="D12" t="s">
        <v>3</v>
      </c>
      <c r="E12" t="s">
        <v>12</v>
      </c>
      <c r="H12" t="s">
        <v>46</v>
      </c>
      <c r="I12" s="2">
        <v>0.1</v>
      </c>
      <c r="J12" t="s">
        <v>5</v>
      </c>
    </row>
    <row r="13" spans="1:14">
      <c r="B13" t="s">
        <v>21</v>
      </c>
      <c r="C13" s="2">
        <v>42.5</v>
      </c>
      <c r="D13" t="s">
        <v>3</v>
      </c>
      <c r="H13" t="s">
        <v>47</v>
      </c>
      <c r="I13" s="9">
        <v>46287</v>
      </c>
      <c r="J13" t="s">
        <v>3</v>
      </c>
      <c r="K13" t="str">
        <f>TEXT(I13,"dddd")</f>
        <v>Tuesday</v>
      </c>
    </row>
    <row r="14" spans="1:14">
      <c r="B14" t="s">
        <v>9</v>
      </c>
      <c r="D14" t="s">
        <v>5</v>
      </c>
      <c r="H14" t="s">
        <v>11</v>
      </c>
      <c r="I14" s="2">
        <v>0.1</v>
      </c>
      <c r="J14" t="s">
        <v>49</v>
      </c>
      <c r="L14" t="s">
        <v>61</v>
      </c>
      <c r="M14" t="s">
        <v>62</v>
      </c>
    </row>
    <row r="15" spans="1:14">
      <c r="B15" t="s">
        <v>30</v>
      </c>
      <c r="C15" s="6">
        <f>C11*100*C10</f>
        <v>1000</v>
      </c>
      <c r="D15" t="s">
        <v>5</v>
      </c>
      <c r="H15" t="s">
        <v>11</v>
      </c>
      <c r="I15" s="2">
        <v>0.12</v>
      </c>
      <c r="J15" t="s">
        <v>50</v>
      </c>
      <c r="M15" t="s">
        <v>63</v>
      </c>
    </row>
    <row r="16" spans="1:14">
      <c r="B16" t="s">
        <v>20</v>
      </c>
      <c r="C16" s="2">
        <f>C10*C13*100</f>
        <v>42500</v>
      </c>
      <c r="D16" t="s">
        <v>5</v>
      </c>
      <c r="I16" s="2"/>
      <c r="M16" t="s">
        <v>64</v>
      </c>
      <c r="N16" s="2">
        <v>-100</v>
      </c>
    </row>
    <row r="17" spans="2:14">
      <c r="B17" t="s">
        <v>22</v>
      </c>
      <c r="C17" s="5">
        <f>C11/C13</f>
        <v>2.3529411764705882E-2</v>
      </c>
      <c r="D17" t="s">
        <v>5</v>
      </c>
      <c r="I17" s="2"/>
      <c r="M17" t="s">
        <v>65</v>
      </c>
      <c r="N17" s="2">
        <v>-42500</v>
      </c>
    </row>
    <row r="18" spans="2:14" ht="17.649999999999999">
      <c r="B18" t="s">
        <v>23</v>
      </c>
      <c r="C18" s="2"/>
      <c r="D18" t="s">
        <v>5</v>
      </c>
      <c r="G18" s="7" t="s">
        <v>41</v>
      </c>
    </row>
    <row r="19" spans="2:14">
      <c r="B19" t="s">
        <v>17</v>
      </c>
      <c r="C19" s="2" t="s">
        <v>18</v>
      </c>
      <c r="D19" t="s">
        <v>3</v>
      </c>
      <c r="E19" t="s">
        <v>19</v>
      </c>
      <c r="I19" t="s">
        <v>52</v>
      </c>
      <c r="J19" t="s">
        <v>53</v>
      </c>
    </row>
    <row r="20" spans="2:14">
      <c r="B20" t="s">
        <v>13</v>
      </c>
      <c r="C20" s="4" t="s">
        <v>1</v>
      </c>
      <c r="D20" t="s">
        <v>3</v>
      </c>
      <c r="H20" t="s">
        <v>55</v>
      </c>
      <c r="I20" s="9">
        <f>C7</f>
        <v>37162.666666666664</v>
      </c>
    </row>
    <row r="21" spans="2:14">
      <c r="B21" t="s">
        <v>32</v>
      </c>
      <c r="C21" s="4" t="b">
        <v>1</v>
      </c>
      <c r="D21" t="s">
        <v>3</v>
      </c>
      <c r="H21" t="s">
        <v>54</v>
      </c>
      <c r="I21" s="2">
        <v>41</v>
      </c>
    </row>
    <row r="22" spans="2:14">
      <c r="H22" t="s">
        <v>56</v>
      </c>
      <c r="I22" t="s">
        <v>57</v>
      </c>
      <c r="J22" t="s">
        <v>58</v>
      </c>
      <c r="L22" t="s">
        <v>61</v>
      </c>
      <c r="M22" t="s">
        <v>62</v>
      </c>
    </row>
    <row r="23" spans="2:14">
      <c r="B23" t="s">
        <v>31</v>
      </c>
      <c r="C23" s="1">
        <v>37145.541666666664</v>
      </c>
      <c r="D23" t="s">
        <v>3</v>
      </c>
      <c r="H23" t="s">
        <v>59</v>
      </c>
      <c r="I23" s="2">
        <v>41.5</v>
      </c>
      <c r="J23" t="s">
        <v>60</v>
      </c>
      <c r="M23" t="s">
        <v>63</v>
      </c>
    </row>
    <row r="24" spans="2:14">
      <c r="B24" t="s">
        <v>14</v>
      </c>
      <c r="M24" t="s">
        <v>64</v>
      </c>
      <c r="N24" s="2">
        <v>-42500</v>
      </c>
    </row>
    <row r="25" spans="2:14">
      <c r="B25" t="s">
        <v>15</v>
      </c>
      <c r="C25" t="s">
        <v>33</v>
      </c>
      <c r="D25" t="s">
        <v>3</v>
      </c>
      <c r="M25" t="s">
        <v>65</v>
      </c>
      <c r="N25" s="2">
        <v>-42500</v>
      </c>
    </row>
    <row r="26" spans="2:14">
      <c r="B26" t="s">
        <v>34</v>
      </c>
      <c r="C26" s="2">
        <v>10000</v>
      </c>
      <c r="D26" t="s">
        <v>5</v>
      </c>
    </row>
    <row r="27" spans="2:14" ht="17.649999999999999">
      <c r="B27" t="s">
        <v>35</v>
      </c>
      <c r="C27" s="6">
        <f>C15+C26</f>
        <v>11000</v>
      </c>
      <c r="D27" t="s">
        <v>5</v>
      </c>
      <c r="G27" s="7" t="s">
        <v>41</v>
      </c>
    </row>
    <row r="28" spans="2:14">
      <c r="B28" t="s">
        <v>36</v>
      </c>
      <c r="C28">
        <v>0</v>
      </c>
      <c r="I28" t="s">
        <v>52</v>
      </c>
      <c r="J28" t="s">
        <v>67</v>
      </c>
      <c r="L28" t="s">
        <v>68</v>
      </c>
    </row>
    <row r="29" spans="2:14">
      <c r="B29" t="s">
        <v>37</v>
      </c>
      <c r="C29" s="2">
        <v>42500</v>
      </c>
      <c r="H29" t="s">
        <v>55</v>
      </c>
      <c r="I29" s="9">
        <v>46290</v>
      </c>
    </row>
    <row r="30" spans="2:14">
      <c r="H30" t="s">
        <v>54</v>
      </c>
      <c r="I30" s="2">
        <v>38</v>
      </c>
    </row>
    <row r="31" spans="2:14">
      <c r="H31" t="s">
        <v>56</v>
      </c>
      <c r="I31" t="s">
        <v>57</v>
      </c>
      <c r="J31" t="s">
        <v>58</v>
      </c>
      <c r="L31" t="s">
        <v>61</v>
      </c>
      <c r="M31" t="s">
        <v>62</v>
      </c>
    </row>
    <row r="32" spans="2:14">
      <c r="H32" t="s">
        <v>59</v>
      </c>
      <c r="I32" s="2">
        <v>41.5</v>
      </c>
      <c r="J32" t="s">
        <v>60</v>
      </c>
      <c r="M32" t="s">
        <v>63</v>
      </c>
    </row>
    <row r="33" spans="7:14">
      <c r="M33" t="s">
        <v>64</v>
      </c>
      <c r="N33" s="2">
        <v>-42500</v>
      </c>
    </row>
    <row r="34" spans="7:14">
      <c r="M34" t="s">
        <v>65</v>
      </c>
      <c r="N34" s="2">
        <v>-42500</v>
      </c>
    </row>
    <row r="36" spans="7:14" ht="17.649999999999999">
      <c r="G36" s="7" t="s">
        <v>41</v>
      </c>
    </row>
    <row r="37" spans="7:14">
      <c r="I37" t="s">
        <v>52</v>
      </c>
      <c r="J37" t="s">
        <v>66</v>
      </c>
    </row>
    <row r="38" spans="7:14">
      <c r="H38" t="s">
        <v>55</v>
      </c>
      <c r="I38" s="9">
        <f>C7</f>
        <v>37162.666666666664</v>
      </c>
    </row>
    <row r="39" spans="7:14">
      <c r="H39" t="s">
        <v>54</v>
      </c>
      <c r="I39" s="2">
        <v>43</v>
      </c>
    </row>
    <row r="40" spans="7:14">
      <c r="H40" t="s">
        <v>56</v>
      </c>
      <c r="L40" t="s">
        <v>61</v>
      </c>
      <c r="M40" t="s">
        <v>62</v>
      </c>
    </row>
    <row r="41" spans="7:14">
      <c r="H41" t="s">
        <v>59</v>
      </c>
      <c r="I41" s="2"/>
      <c r="M41" t="s">
        <v>63</v>
      </c>
    </row>
    <row r="42" spans="7:14">
      <c r="M42" t="s">
        <v>64</v>
      </c>
      <c r="N42" s="2">
        <v>0</v>
      </c>
    </row>
    <row r="43" spans="7:14">
      <c r="M43" t="s">
        <v>65</v>
      </c>
      <c r="N43" s="2">
        <v>-42500</v>
      </c>
    </row>
  </sheetData>
  <pageMargins left="0.25" right="0.25" top="0.75" bottom="0.75" header="0.3" footer="0.3"/>
  <pageSetup paperSize="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1D428-A758-4740-A151-6257D38C28E3}">
  <dimension ref="B2:E29"/>
  <sheetViews>
    <sheetView workbookViewId="0">
      <selection activeCell="H21" sqref="H21"/>
    </sheetView>
  </sheetViews>
  <sheetFormatPr defaultRowHeight="13.5"/>
  <cols>
    <col min="2" max="2" width="19.9375" bestFit="1" customWidth="1"/>
    <col min="3" max="3" width="13.75" bestFit="1" customWidth="1"/>
  </cols>
  <sheetData>
    <row r="2" spans="2:5">
      <c r="B2" t="s">
        <v>7</v>
      </c>
      <c r="C2" s="3" t="s">
        <v>8</v>
      </c>
      <c r="D2" t="s">
        <v>3</v>
      </c>
    </row>
    <row r="3" spans="2:5">
      <c r="B3" t="s">
        <v>24</v>
      </c>
      <c r="C3" s="3" t="s">
        <v>25</v>
      </c>
      <c r="D3" t="s">
        <v>3</v>
      </c>
    </row>
    <row r="4" spans="2:5">
      <c r="B4" t="s">
        <v>26</v>
      </c>
      <c r="C4" s="3" t="s">
        <v>27</v>
      </c>
      <c r="D4" t="s">
        <v>3</v>
      </c>
    </row>
    <row r="6" spans="2:5">
      <c r="B6" t="s">
        <v>0</v>
      </c>
      <c r="C6" s="1">
        <v>37145.458333333336</v>
      </c>
      <c r="D6" t="s">
        <v>3</v>
      </c>
      <c r="E6" t="str">
        <f>TEXT(C6,"dddd")</f>
        <v>Tuesday</v>
      </c>
    </row>
    <row r="7" spans="2:5">
      <c r="B7" t="s">
        <v>2</v>
      </c>
      <c r="C7" s="1">
        <v>37162.666666666664</v>
      </c>
      <c r="D7" t="s">
        <v>3</v>
      </c>
      <c r="E7" t="str">
        <f>TEXT(C7,"dddd")</f>
        <v>Friday</v>
      </c>
    </row>
    <row r="8" spans="2:5">
      <c r="B8" t="s">
        <v>4</v>
      </c>
      <c r="C8">
        <f>C7-C6</f>
        <v>17.208333333328483</v>
      </c>
      <c r="D8" t="s">
        <v>5</v>
      </c>
    </row>
    <row r="9" spans="2:5">
      <c r="B9" t="s">
        <v>28</v>
      </c>
      <c r="C9">
        <v>0.4</v>
      </c>
      <c r="D9" t="s">
        <v>3</v>
      </c>
      <c r="E9" t="s">
        <v>12</v>
      </c>
    </row>
    <row r="10" spans="2:5">
      <c r="B10" t="s">
        <v>6</v>
      </c>
      <c r="C10">
        <v>10</v>
      </c>
      <c r="D10" t="s">
        <v>3</v>
      </c>
    </row>
    <row r="11" spans="2:5">
      <c r="B11" t="s">
        <v>10</v>
      </c>
      <c r="C11" s="2">
        <v>1</v>
      </c>
      <c r="D11" t="s">
        <v>3</v>
      </c>
      <c r="E11" t="s">
        <v>12</v>
      </c>
    </row>
    <row r="12" spans="2:5">
      <c r="B12" t="s">
        <v>11</v>
      </c>
      <c r="C12" s="2">
        <v>0.9</v>
      </c>
      <c r="D12" t="s">
        <v>3</v>
      </c>
      <c r="E12" t="s">
        <v>12</v>
      </c>
    </row>
    <row r="13" spans="2:5">
      <c r="B13" t="s">
        <v>21</v>
      </c>
      <c r="C13" s="2">
        <v>42.5</v>
      </c>
      <c r="D13" t="s">
        <v>3</v>
      </c>
    </row>
    <row r="14" spans="2:5">
      <c r="B14" t="s">
        <v>9</v>
      </c>
      <c r="D14" t="s">
        <v>5</v>
      </c>
    </row>
    <row r="15" spans="2:5">
      <c r="B15" t="s">
        <v>30</v>
      </c>
      <c r="C15" s="6">
        <f>C11*100*C10</f>
        <v>1000</v>
      </c>
      <c r="D15" t="s">
        <v>5</v>
      </c>
    </row>
    <row r="16" spans="2:5">
      <c r="B16" t="s">
        <v>20</v>
      </c>
      <c r="C16" s="2">
        <f>C10*C13*100</f>
        <v>42500</v>
      </c>
      <c r="D16" t="s">
        <v>5</v>
      </c>
    </row>
    <row r="17" spans="2:5">
      <c r="B17" t="s">
        <v>22</v>
      </c>
      <c r="C17" s="5">
        <f>C11/C13</f>
        <v>2.3529411764705882E-2</v>
      </c>
      <c r="D17" t="s">
        <v>5</v>
      </c>
    </row>
    <row r="18" spans="2:5">
      <c r="B18" t="s">
        <v>23</v>
      </c>
      <c r="C18" s="2"/>
      <c r="D18" t="s">
        <v>5</v>
      </c>
    </row>
    <row r="19" spans="2:5">
      <c r="B19" t="s">
        <v>17</v>
      </c>
      <c r="C19" s="2" t="s">
        <v>38</v>
      </c>
      <c r="D19" t="s">
        <v>3</v>
      </c>
      <c r="E19" t="s">
        <v>19</v>
      </c>
    </row>
    <row r="20" spans="2:5">
      <c r="B20" t="s">
        <v>13</v>
      </c>
      <c r="C20" s="4" t="s">
        <v>1</v>
      </c>
      <c r="D20" t="s">
        <v>3</v>
      </c>
    </row>
    <row r="21" spans="2:5">
      <c r="B21" t="s">
        <v>32</v>
      </c>
      <c r="C21" s="4" t="b">
        <v>1</v>
      </c>
      <c r="D21" t="s">
        <v>3</v>
      </c>
    </row>
    <row r="23" spans="2:5">
      <c r="B23" t="s">
        <v>31</v>
      </c>
      <c r="C23" s="1">
        <v>37145.541678240741</v>
      </c>
      <c r="D23" t="s">
        <v>3</v>
      </c>
    </row>
    <row r="24" spans="2:5">
      <c r="B24" t="s">
        <v>14</v>
      </c>
    </row>
    <row r="25" spans="2:5">
      <c r="B25" t="s">
        <v>15</v>
      </c>
      <c r="C25" t="s">
        <v>33</v>
      </c>
      <c r="D25" t="s">
        <v>3</v>
      </c>
      <c r="E25" t="s">
        <v>39</v>
      </c>
    </row>
    <row r="26" spans="2:5">
      <c r="B26" t="s">
        <v>34</v>
      </c>
      <c r="C26" s="2">
        <v>10000</v>
      </c>
      <c r="D26" t="s">
        <v>5</v>
      </c>
    </row>
    <row r="27" spans="2:5">
      <c r="B27" t="s">
        <v>35</v>
      </c>
      <c r="C27" s="6">
        <f>C15+C26</f>
        <v>11000</v>
      </c>
      <c r="D27" t="s">
        <v>5</v>
      </c>
    </row>
    <row r="28" spans="2:5">
      <c r="B28" t="s">
        <v>36</v>
      </c>
      <c r="C28">
        <v>0</v>
      </c>
    </row>
    <row r="29" spans="2:5">
      <c r="B29" t="s">
        <v>37</v>
      </c>
      <c r="C29" s="2">
        <v>42500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Unfilled LMT Order</vt:lpstr>
      <vt:lpstr>Filled LMT Order</vt:lpstr>
      <vt:lpstr>Filled MKT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Fingerhut</dc:creator>
  <cp:lastModifiedBy>Eric Fingerhut</cp:lastModifiedBy>
  <cp:lastPrinted>2026-01-19T14:48:02Z</cp:lastPrinted>
  <dcterms:created xsi:type="dcterms:W3CDTF">2026-01-19T08:22:51Z</dcterms:created>
  <dcterms:modified xsi:type="dcterms:W3CDTF">2026-01-19T19:31:53Z</dcterms:modified>
</cp:coreProperties>
</file>